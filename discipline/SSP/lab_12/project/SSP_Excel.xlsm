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SSP_Excel" defaultThemeVersion="153222"/>
  <mc:AlternateContent xmlns:mc="http://schemas.openxmlformats.org/markup-compatibility/2006">
    <mc:Choice Requires="x15">
      <x15ac:absPath xmlns:x15ac="http://schemas.microsoft.com/office/spreadsheetml/2010/11/ac" url="C:\Users\Paul\Desktop\"/>
    </mc:Choice>
  </mc:AlternateContent>
  <bookViews>
    <workbookView xWindow="0" yWindow="0" windowWidth="19200" windowHeight="8500"/>
  </bookViews>
  <sheets>
    <sheet name="SSP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1" l="1"/>
  <c r="H25" i="1"/>
  <c r="H24" i="1"/>
  <c r="H23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2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2" i="1"/>
  <c r="F17" i="1"/>
  <c r="F13" i="1"/>
  <c r="F9" i="1"/>
  <c r="F16" i="1"/>
  <c r="F12" i="1"/>
  <c r="F8" i="1"/>
  <c r="F15" i="1"/>
  <c r="F11" i="1"/>
  <c r="F7" i="1"/>
  <c r="F14" i="1"/>
  <c r="F10" i="1"/>
  <c r="F6" i="1"/>
  <c r="F5" i="1"/>
  <c r="F4" i="1"/>
  <c r="F3" i="1"/>
  <c r="F2" i="1"/>
  <c r="E5" i="1"/>
  <c r="E6" i="1"/>
  <c r="E7" i="1"/>
  <c r="E8" i="1"/>
  <c r="E9" i="1"/>
  <c r="E10" i="1"/>
  <c r="E11" i="1"/>
  <c r="E12" i="1"/>
  <c r="E13" i="1"/>
  <c r="E14" i="1"/>
  <c r="E15" i="1"/>
  <c r="E4" i="1"/>
  <c r="D4" i="1"/>
  <c r="D5" i="1"/>
  <c r="D6" i="1"/>
  <c r="D7" i="1"/>
  <c r="D8" i="1"/>
  <c r="D9" i="1"/>
  <c r="D10" i="1"/>
  <c r="D11" i="1"/>
  <c r="D12" i="1"/>
  <c r="D13" i="1"/>
  <c r="D14" i="1"/>
  <c r="D15" i="1"/>
  <c r="C3" i="1"/>
  <c r="C4" i="1"/>
  <c r="C5" i="1"/>
  <c r="C6" i="1"/>
  <c r="C7" i="1"/>
  <c r="C8" i="1"/>
  <c r="C9" i="1"/>
  <c r="C10" i="1"/>
  <c r="C11" i="1"/>
  <c r="C12" i="1"/>
  <c r="C13" i="1"/>
  <c r="C14" i="1"/>
  <c r="C15" i="1"/>
</calcChain>
</file>

<file path=xl/sharedStrings.xml><?xml version="1.0" encoding="utf-8"?>
<sst xmlns="http://schemas.openxmlformats.org/spreadsheetml/2006/main" count="29" uniqueCount="18">
  <si>
    <t>Фактический спрос (X)</t>
  </si>
  <si>
    <t>Скользящее среднее (S)</t>
  </si>
  <si>
    <t>Центрированное скользящее среднее (Sц)</t>
  </si>
  <si>
    <t>Коэффициент сезонности (K)</t>
  </si>
  <si>
    <t>Уточненный коэффициент сезонности (Kc)</t>
  </si>
  <si>
    <t>Расчетный спрос (без учета сезонности)</t>
  </si>
  <si>
    <t>Номер периода</t>
  </si>
  <si>
    <t>Модельная величина спроса</t>
  </si>
  <si>
    <t>Ошибка</t>
  </si>
  <si>
    <t>1 кв</t>
  </si>
  <si>
    <t>2 кв</t>
  </si>
  <si>
    <t>3 кв</t>
  </si>
  <si>
    <t>4 кв</t>
  </si>
  <si>
    <t xml:space="preserve"> 4 кв</t>
  </si>
  <si>
    <t>Средняя ошибка</t>
  </si>
  <si>
    <t>a_0</t>
  </si>
  <si>
    <t>a_1</t>
  </si>
  <si>
    <t>Прогноз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</si>
</sst>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/>
    <xf numFmtId="0" fontId="1" fillId="0" borderId="0" xfId="0" applyFont="1"/>
    <xf numFmtId="2" fontId="0" fillId="0" borderId="2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0" fillId="0" borderId="0" xfId="0" applyNumberFormat="1"/>
    <xf numFmtId="0" fontId="1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Расчётный спрос</c:v>
          </c:tx>
          <c:trendline>
            <c:name>Линия тренда</c:name>
            <c:spPr>
              <a:ln w="38100">
                <a:solidFill>
                  <a:srgbClr val="FF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/>
              <c:numFmt formatCode="General" sourceLinked="0"/>
            </c:trendlineLbl>
          </c:trendline>
          <c:yVal>
            <c:numRef>
              <c:f>SSP!$G$2:$G$17</c:f>
              <c:numCache>
                <c:formatCode>0.00</c:formatCode>
                <c:ptCount val="16"/>
                <c:pt idx="0">
                  <c:v>23.44143143522783</c:v>
                </c:pt>
                <c:pt idx="1">
                  <c:v>23.042254421138392</c:v>
                </c:pt>
                <c:pt idx="2">
                  <c:v>21.947964352586876</c:v>
                </c:pt>
                <c:pt idx="3">
                  <c:v>24.198094655421052</c:v>
                </c:pt>
                <c:pt idx="4">
                  <c:v>22.207671886005311</c:v>
                </c:pt>
                <c:pt idx="5">
                  <c:v>23.042254421138392</c:v>
                </c:pt>
                <c:pt idx="6">
                  <c:v>25.199514627044191</c:v>
                </c:pt>
                <c:pt idx="7">
                  <c:v>24.198094655421052</c:v>
                </c:pt>
                <c:pt idx="8">
                  <c:v>25.908950533672865</c:v>
                </c:pt>
                <c:pt idx="9">
                  <c:v>25.045928718628687</c:v>
                </c:pt>
                <c:pt idx="10">
                  <c:v>26.825289764272849</c:v>
                </c:pt>
                <c:pt idx="11">
                  <c:v>26.214602543372806</c:v>
                </c:pt>
                <c:pt idx="12">
                  <c:v>27.14271008289538</c:v>
                </c:pt>
                <c:pt idx="13">
                  <c:v>27.049603016118979</c:v>
                </c:pt>
                <c:pt idx="14">
                  <c:v>21.135076783972547</c:v>
                </c:pt>
                <c:pt idx="15">
                  <c:v>25.206348599396929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57866528"/>
        <c:axId val="-257869792"/>
      </c:scatterChart>
      <c:valAx>
        <c:axId val="-2578665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57869792"/>
        <c:crosses val="autoZero"/>
        <c:crossBetween val="midCat"/>
      </c:valAx>
      <c:valAx>
        <c:axId val="-2578697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578665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20</xdr:row>
      <xdr:rowOff>57150</xdr:rowOff>
    </xdr:from>
    <xdr:to>
      <xdr:col>5</xdr:col>
      <xdr:colOff>857250</xdr:colOff>
      <xdr:row>34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26"/>
  <sheetViews>
    <sheetView tabSelected="1" zoomScale="90" zoomScaleNormal="90" workbookViewId="0">
      <selection activeCell="H26" sqref="H26"/>
    </sheetView>
  </sheetViews>
  <sheetFormatPr defaultRowHeight="14.5" x14ac:dyDescent="0.35"/>
  <cols>
    <col min="2" max="2" width="14.453125" customWidth="1"/>
    <col min="3" max="3" width="15" customWidth="1"/>
    <col min="4" max="4" width="18" customWidth="1"/>
    <col min="5" max="5" width="13.7265625" customWidth="1"/>
    <col min="6" max="6" width="15.81640625" customWidth="1"/>
    <col min="7" max="7" width="17" customWidth="1"/>
    <col min="9" max="9" width="13" customWidth="1"/>
    <col min="10" max="10" width="12.7265625" bestFit="1" customWidth="1"/>
  </cols>
  <sheetData>
    <row r="1" spans="1:12" ht="50.25" customHeight="1" x14ac:dyDescent="0.35">
      <c r="A1" s="2"/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2"/>
      <c r="L1" s="1"/>
    </row>
    <row r="2" spans="1:12" x14ac:dyDescent="0.35">
      <c r="A2" s="10" t="s">
        <v>9</v>
      </c>
      <c r="B2" s="10">
        <v>19</v>
      </c>
      <c r="C2" s="10"/>
      <c r="D2" s="10"/>
      <c r="E2" s="10"/>
      <c r="F2" s="14">
        <f>AVERAGE(E6,E10,E14)</f>
        <v>0.81053070724370369</v>
      </c>
      <c r="G2" s="14">
        <f>B2/F2</f>
        <v>23.44143143522783</v>
      </c>
      <c r="H2" s="10">
        <v>1</v>
      </c>
      <c r="I2" s="18">
        <f>($H$21*(H2)+$H$22)*F2</f>
        <v>0</v>
      </c>
      <c r="J2" s="14">
        <f>ABS(I2-B2)</f>
        <v>19</v>
      </c>
    </row>
    <row r="3" spans="1:12" x14ac:dyDescent="0.35">
      <c r="A3" s="11" t="s">
        <v>10</v>
      </c>
      <c r="B3" s="11">
        <v>23</v>
      </c>
      <c r="C3" s="7">
        <f t="shared" ref="C3:C15" si="0">AVERAGE(B2:B5)</f>
        <v>23.25</v>
      </c>
      <c r="E3" s="11"/>
      <c r="F3" s="13">
        <f>AVERAGE(E7,E11,E15)</f>
        <v>0.99816622018114565</v>
      </c>
      <c r="G3" s="14">
        <f t="shared" ref="G3:G17" si="1">B3/F3</f>
        <v>23.042254421138392</v>
      </c>
      <c r="H3" s="11">
        <v>2</v>
      </c>
      <c r="I3" s="18">
        <f t="shared" ref="I3:I17" si="2">($H$21*(H3)+$H$22)*F3</f>
        <v>0</v>
      </c>
      <c r="J3" s="14">
        <f t="shared" ref="J3:J17" si="3">ABS(I3-B3)</f>
        <v>23</v>
      </c>
    </row>
    <row r="4" spans="1:12" x14ac:dyDescent="0.35">
      <c r="A4" s="11" t="s">
        <v>11</v>
      </c>
      <c r="B4" s="11">
        <v>27</v>
      </c>
      <c r="C4" s="7">
        <f t="shared" si="0"/>
        <v>23</v>
      </c>
      <c r="D4">
        <f t="shared" ref="D4:D15" si="4">AVERAGE(C3:C4)</f>
        <v>23.125</v>
      </c>
      <c r="E4" s="13">
        <f>B4/D4</f>
        <v>1.1675675675675676</v>
      </c>
      <c r="F4" s="13">
        <f>AVERAGE(E4,E8,E12)</f>
        <v>1.2301824244952206</v>
      </c>
      <c r="G4" s="14">
        <f t="shared" si="1"/>
        <v>21.947964352586876</v>
      </c>
      <c r="H4" s="11">
        <v>3</v>
      </c>
      <c r="I4" s="18">
        <f t="shared" si="2"/>
        <v>0</v>
      </c>
      <c r="J4" s="14">
        <f t="shared" si="3"/>
        <v>27</v>
      </c>
    </row>
    <row r="5" spans="1:12" x14ac:dyDescent="0.35">
      <c r="A5" s="12" t="s">
        <v>12</v>
      </c>
      <c r="B5" s="12">
        <v>24</v>
      </c>
      <c r="C5" s="7">
        <f t="shared" si="0"/>
        <v>23</v>
      </c>
      <c r="D5">
        <f t="shared" si="4"/>
        <v>23</v>
      </c>
      <c r="E5" s="13">
        <f t="shared" ref="E5:E15" si="5">B5/D5</f>
        <v>1.0434782608695652</v>
      </c>
      <c r="F5" s="15">
        <f>AVERAGE(E5,E9,E13)</f>
        <v>0.9918136258973318</v>
      </c>
      <c r="G5" s="14">
        <f t="shared" si="1"/>
        <v>24.198094655421052</v>
      </c>
      <c r="H5" s="12">
        <v>4</v>
      </c>
      <c r="I5" s="18">
        <f t="shared" si="2"/>
        <v>0</v>
      </c>
      <c r="J5" s="14">
        <f t="shared" si="3"/>
        <v>24</v>
      </c>
    </row>
    <row r="6" spans="1:12" x14ac:dyDescent="0.35">
      <c r="A6" s="10" t="s">
        <v>9</v>
      </c>
      <c r="B6" s="10">
        <v>18</v>
      </c>
      <c r="C6" s="6">
        <f t="shared" si="0"/>
        <v>24</v>
      </c>
      <c r="D6" s="4">
        <f t="shared" si="4"/>
        <v>23.5</v>
      </c>
      <c r="E6" s="14">
        <f t="shared" si="5"/>
        <v>0.76595744680851063</v>
      </c>
      <c r="F6" s="14">
        <f>F2</f>
        <v>0.81053070724370369</v>
      </c>
      <c r="G6" s="14">
        <f t="shared" si="1"/>
        <v>22.207671886005311</v>
      </c>
      <c r="H6" s="10">
        <v>5</v>
      </c>
      <c r="I6" s="18">
        <f t="shared" si="2"/>
        <v>0</v>
      </c>
      <c r="J6" s="14">
        <f t="shared" si="3"/>
        <v>18</v>
      </c>
    </row>
    <row r="7" spans="1:12" x14ac:dyDescent="0.35">
      <c r="A7" s="11" t="s">
        <v>10</v>
      </c>
      <c r="B7" s="11">
        <v>23</v>
      </c>
      <c r="C7" s="7">
        <f t="shared" si="0"/>
        <v>24</v>
      </c>
      <c r="D7" s="3">
        <f t="shared" si="4"/>
        <v>24</v>
      </c>
      <c r="E7" s="13">
        <f t="shared" si="5"/>
        <v>0.95833333333333337</v>
      </c>
      <c r="F7" s="13">
        <f>F3</f>
        <v>0.99816622018114565</v>
      </c>
      <c r="G7" s="14">
        <f t="shared" si="1"/>
        <v>23.042254421138392</v>
      </c>
      <c r="H7" s="11">
        <v>6</v>
      </c>
      <c r="I7" s="18">
        <f t="shared" si="2"/>
        <v>0</v>
      </c>
      <c r="J7" s="14">
        <f t="shared" si="3"/>
        <v>23</v>
      </c>
    </row>
    <row r="8" spans="1:12" x14ac:dyDescent="0.35">
      <c r="A8" s="11" t="s">
        <v>11</v>
      </c>
      <c r="B8" s="11">
        <v>31</v>
      </c>
      <c r="C8" s="7">
        <f t="shared" si="0"/>
        <v>24.75</v>
      </c>
      <c r="D8" s="3">
        <f t="shared" si="4"/>
        <v>24.375</v>
      </c>
      <c r="E8" s="13">
        <f t="shared" si="5"/>
        <v>1.2717948717948717</v>
      </c>
      <c r="F8" s="13">
        <f>F4</f>
        <v>1.2301824244952206</v>
      </c>
      <c r="G8" s="14">
        <f t="shared" si="1"/>
        <v>25.199514627044191</v>
      </c>
      <c r="H8" s="11">
        <v>7</v>
      </c>
      <c r="I8" s="18">
        <f t="shared" si="2"/>
        <v>0</v>
      </c>
      <c r="J8" s="14">
        <f t="shared" si="3"/>
        <v>31</v>
      </c>
    </row>
    <row r="9" spans="1:12" x14ac:dyDescent="0.35">
      <c r="A9" s="12" t="s">
        <v>12</v>
      </c>
      <c r="B9" s="12">
        <v>24</v>
      </c>
      <c r="C9" s="7">
        <f t="shared" si="0"/>
        <v>25.25</v>
      </c>
      <c r="D9" s="3">
        <f t="shared" si="4"/>
        <v>25</v>
      </c>
      <c r="E9" s="13">
        <f t="shared" si="5"/>
        <v>0.96</v>
      </c>
      <c r="F9" s="15">
        <f>F5</f>
        <v>0.9918136258973318</v>
      </c>
      <c r="G9" s="14">
        <f t="shared" si="1"/>
        <v>24.198094655421052</v>
      </c>
      <c r="H9" s="12">
        <v>8</v>
      </c>
      <c r="I9" s="18">
        <f t="shared" si="2"/>
        <v>0</v>
      </c>
      <c r="J9" s="14">
        <f t="shared" si="3"/>
        <v>24</v>
      </c>
    </row>
    <row r="10" spans="1:12" x14ac:dyDescent="0.35">
      <c r="A10" s="10" t="s">
        <v>9</v>
      </c>
      <c r="B10" s="10">
        <v>21</v>
      </c>
      <c r="C10" s="6">
        <f t="shared" si="0"/>
        <v>25.75</v>
      </c>
      <c r="D10" s="4">
        <f t="shared" si="4"/>
        <v>25.5</v>
      </c>
      <c r="E10" s="14">
        <f t="shared" si="5"/>
        <v>0.82352941176470584</v>
      </c>
      <c r="F10" s="14">
        <f>F2</f>
        <v>0.81053070724370369</v>
      </c>
      <c r="G10" s="14">
        <f t="shared" si="1"/>
        <v>25.908950533672865</v>
      </c>
      <c r="H10" s="10">
        <v>9</v>
      </c>
      <c r="I10" s="18">
        <f t="shared" si="2"/>
        <v>0</v>
      </c>
      <c r="J10" s="14">
        <f t="shared" si="3"/>
        <v>21</v>
      </c>
    </row>
    <row r="11" spans="1:12" x14ac:dyDescent="0.35">
      <c r="A11" s="11" t="s">
        <v>10</v>
      </c>
      <c r="B11" s="11">
        <v>25</v>
      </c>
      <c r="C11" s="7">
        <f t="shared" si="0"/>
        <v>26.25</v>
      </c>
      <c r="D11" s="3">
        <f t="shared" si="4"/>
        <v>26</v>
      </c>
      <c r="E11" s="13">
        <f t="shared" si="5"/>
        <v>0.96153846153846156</v>
      </c>
      <c r="F11" s="13">
        <f>F3</f>
        <v>0.99816622018114565</v>
      </c>
      <c r="G11" s="14">
        <f t="shared" si="1"/>
        <v>25.045928718628687</v>
      </c>
      <c r="H11" s="11">
        <v>10</v>
      </c>
      <c r="I11" s="18">
        <f t="shared" si="2"/>
        <v>0</v>
      </c>
      <c r="J11" s="14">
        <f t="shared" si="3"/>
        <v>25</v>
      </c>
    </row>
    <row r="12" spans="1:12" x14ac:dyDescent="0.35">
      <c r="A12" s="11" t="s">
        <v>11</v>
      </c>
      <c r="B12" s="11">
        <v>33</v>
      </c>
      <c r="C12" s="7">
        <f t="shared" si="0"/>
        <v>26.5</v>
      </c>
      <c r="D12" s="3">
        <f t="shared" si="4"/>
        <v>26.375</v>
      </c>
      <c r="E12" s="13">
        <f t="shared" si="5"/>
        <v>1.2511848341232228</v>
      </c>
      <c r="F12" s="13">
        <f>F4</f>
        <v>1.2301824244952206</v>
      </c>
      <c r="G12" s="14">
        <f t="shared" si="1"/>
        <v>26.825289764272849</v>
      </c>
      <c r="H12" s="11">
        <v>11</v>
      </c>
      <c r="I12" s="18">
        <f t="shared" si="2"/>
        <v>0</v>
      </c>
      <c r="J12" s="14">
        <f t="shared" si="3"/>
        <v>33</v>
      </c>
    </row>
    <row r="13" spans="1:12" x14ac:dyDescent="0.35">
      <c r="A13" s="12" t="s">
        <v>13</v>
      </c>
      <c r="B13" s="12">
        <v>26</v>
      </c>
      <c r="C13" s="7">
        <f t="shared" si="0"/>
        <v>27</v>
      </c>
      <c r="D13" s="3">
        <f t="shared" si="4"/>
        <v>26.75</v>
      </c>
      <c r="E13" s="13">
        <f t="shared" si="5"/>
        <v>0.9719626168224299</v>
      </c>
      <c r="F13" s="15">
        <f>F5</f>
        <v>0.9918136258973318</v>
      </c>
      <c r="G13" s="14">
        <f t="shared" si="1"/>
        <v>26.214602543372806</v>
      </c>
      <c r="H13" s="12">
        <v>12</v>
      </c>
      <c r="I13" s="18">
        <f t="shared" si="2"/>
        <v>0</v>
      </c>
      <c r="J13" s="14">
        <f t="shared" si="3"/>
        <v>26</v>
      </c>
    </row>
    <row r="14" spans="1:12" x14ac:dyDescent="0.35">
      <c r="A14" s="10" t="s">
        <v>9</v>
      </c>
      <c r="B14" s="11">
        <v>22</v>
      </c>
      <c r="C14" s="6">
        <f t="shared" si="0"/>
        <v>25.25</v>
      </c>
      <c r="D14" s="4">
        <f t="shared" si="4"/>
        <v>26.125</v>
      </c>
      <c r="E14" s="14">
        <f t="shared" si="5"/>
        <v>0.84210526315789469</v>
      </c>
      <c r="F14" s="13">
        <f>F2</f>
        <v>0.81053070724370369</v>
      </c>
      <c r="G14" s="14">
        <f t="shared" si="1"/>
        <v>27.14271008289538</v>
      </c>
      <c r="H14" s="11">
        <v>13</v>
      </c>
      <c r="I14" s="18">
        <f t="shared" si="2"/>
        <v>0</v>
      </c>
      <c r="J14" s="14">
        <f t="shared" si="3"/>
        <v>22</v>
      </c>
    </row>
    <row r="15" spans="1:12" x14ac:dyDescent="0.35">
      <c r="A15" s="11" t="s">
        <v>10</v>
      </c>
      <c r="B15" s="11">
        <v>27</v>
      </c>
      <c r="C15" s="7">
        <f t="shared" si="0"/>
        <v>25</v>
      </c>
      <c r="D15" s="3">
        <f t="shared" si="4"/>
        <v>25.125</v>
      </c>
      <c r="E15" s="13">
        <f t="shared" si="5"/>
        <v>1.0746268656716418</v>
      </c>
      <c r="F15" s="13">
        <f>F3</f>
        <v>0.99816622018114565</v>
      </c>
      <c r="G15" s="14">
        <f t="shared" si="1"/>
        <v>27.049603016118979</v>
      </c>
      <c r="H15" s="11">
        <v>14</v>
      </c>
      <c r="I15" s="18">
        <f t="shared" si="2"/>
        <v>0</v>
      </c>
      <c r="J15" s="14">
        <f t="shared" si="3"/>
        <v>27</v>
      </c>
    </row>
    <row r="16" spans="1:12" x14ac:dyDescent="0.35">
      <c r="A16" s="11" t="s">
        <v>11</v>
      </c>
      <c r="B16" s="11">
        <v>26</v>
      </c>
      <c r="C16" s="5"/>
      <c r="D16" s="11"/>
      <c r="E16" s="11"/>
      <c r="F16" s="13">
        <f>F4</f>
        <v>1.2301824244952206</v>
      </c>
      <c r="G16" s="14">
        <f t="shared" si="1"/>
        <v>21.135076783972547</v>
      </c>
      <c r="H16" s="11">
        <v>15</v>
      </c>
      <c r="I16" s="18">
        <f t="shared" si="2"/>
        <v>0</v>
      </c>
      <c r="J16" s="14">
        <f t="shared" si="3"/>
        <v>26</v>
      </c>
    </row>
    <row r="17" spans="1:10" x14ac:dyDescent="0.35">
      <c r="A17" s="12" t="s">
        <v>12</v>
      </c>
      <c r="B17" s="12">
        <v>25</v>
      </c>
      <c r="C17" s="8"/>
      <c r="D17" s="12"/>
      <c r="E17" s="12"/>
      <c r="F17" s="15">
        <f>F5</f>
        <v>0.9918136258973318</v>
      </c>
      <c r="G17" s="14">
        <f t="shared" si="1"/>
        <v>25.206348599396929</v>
      </c>
      <c r="H17" s="12">
        <v>16</v>
      </c>
      <c r="I17" s="20">
        <f t="shared" si="2"/>
        <v>0</v>
      </c>
      <c r="J17" s="19">
        <f t="shared" si="3"/>
        <v>25</v>
      </c>
    </row>
    <row r="18" spans="1:10" x14ac:dyDescent="0.35">
      <c r="G18" s="16"/>
    </row>
    <row r="19" spans="1:10" x14ac:dyDescent="0.35">
      <c r="A19" s="23" t="s">
        <v>14</v>
      </c>
      <c r="B19" s="23"/>
      <c r="C19" s="23"/>
      <c r="D19" s="23"/>
      <c r="E19" s="23"/>
      <c r="F19" s="23"/>
      <c r="G19" s="23"/>
      <c r="H19" s="23"/>
      <c r="I19" s="23"/>
      <c r="J19" s="21"/>
    </row>
    <row r="21" spans="1:10" x14ac:dyDescent="0.35">
      <c r="G21" t="s">
        <v>15</v>
      </c>
    </row>
    <row r="22" spans="1:10" x14ac:dyDescent="0.35">
      <c r="G22" t="s">
        <v>16</v>
      </c>
      <c r="H22" s="22"/>
    </row>
    <row r="23" spans="1:10" x14ac:dyDescent="0.35">
      <c r="G23" s="17" t="s">
        <v>17</v>
      </c>
      <c r="H23" s="17">
        <f>($H$21*($H$17+1)+$H$22)*F2</f>
        <v>0</v>
      </c>
    </row>
    <row r="24" spans="1:10" x14ac:dyDescent="0.35">
      <c r="H24" s="17">
        <f>($H$21*($H$17+2)+$H$22)*F3</f>
        <v>0</v>
      </c>
    </row>
    <row r="25" spans="1:10" x14ac:dyDescent="0.35">
      <c r="H25" s="17">
        <f>($H$21*($H$17+3)+$H$22)*F4</f>
        <v>0</v>
      </c>
    </row>
    <row r="26" spans="1:10" x14ac:dyDescent="0.35">
      <c r="H26" s="17">
        <f>($H$21*($H$17+4)+$H$22)*F5</f>
        <v>0</v>
      </c>
    </row>
  </sheetData>
  <mergeCells count="1">
    <mergeCell ref="A19:I1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tutor</dc:creator>
  <cp:lastModifiedBy>Paul</cp:lastModifiedBy>
  <dcterms:created xsi:type="dcterms:W3CDTF">2015-09-26T05:10:37Z</dcterms:created>
  <dcterms:modified xsi:type="dcterms:W3CDTF">2015-11-02T21:01:47Z</dcterms:modified>
</cp:coreProperties>
</file>