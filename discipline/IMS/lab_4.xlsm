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ev\university\discipline\IMS\"/>
    </mc:Choice>
  </mc:AlternateContent>
  <bookViews>
    <workbookView xWindow="0" yWindow="0" windowWidth="20490" windowHeight="8445" activeTab="2"/>
  </bookViews>
  <sheets>
    <sheet name="Титульный" sheetId="1" r:id="rId1"/>
    <sheet name="Задание" sheetId="2" r:id="rId2"/>
    <sheet name="Расчет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3" l="1"/>
  <c r="E20" i="3"/>
  <c r="C20" i="3"/>
  <c r="D18" i="3"/>
  <c r="E18" i="3"/>
  <c r="D19" i="3"/>
  <c r="E19" i="3"/>
  <c r="C19" i="3"/>
  <c r="C18" i="3"/>
</calcChain>
</file>

<file path=xl/sharedStrings.xml><?xml version="1.0" encoding="utf-8"?>
<sst xmlns="http://schemas.openxmlformats.org/spreadsheetml/2006/main" count="31" uniqueCount="19">
  <si>
    <t>Станок</t>
  </si>
  <si>
    <t>Деталь</t>
  </si>
  <si>
    <t>Д1</t>
  </si>
  <si>
    <t>Д2</t>
  </si>
  <si>
    <t>Д3</t>
  </si>
  <si>
    <t>Станок 1</t>
  </si>
  <si>
    <t>Станок 2</t>
  </si>
  <si>
    <t>Отчётный период:</t>
  </si>
  <si>
    <t>Минимальное число деталей Д1:</t>
  </si>
  <si>
    <t>Минимальное число деталей Д2:</t>
  </si>
  <si>
    <t>Минимальное число деталей Д3:</t>
  </si>
  <si>
    <t>Прибыль от продажи детали</t>
  </si>
  <si>
    <t>Деталь 1</t>
  </si>
  <si>
    <t>Деталь 2</t>
  </si>
  <si>
    <t>Деталь 3</t>
  </si>
  <si>
    <t>Результаты:</t>
  </si>
  <si>
    <t>Число итераций:</t>
  </si>
  <si>
    <t>Максимальная прибыль:</t>
  </si>
  <si>
    <t>Выполнение ограничений: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</si>
</sst>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41970</xdr:colOff>
      <xdr:row>0</xdr:row>
      <xdr:rowOff>114300</xdr:rowOff>
    </xdr:from>
    <xdr:ext cx="6008824" cy="7191375"/>
    <xdr:sp macro="" textlink="">
      <xdr:nvSpPr>
        <xdr:cNvPr id="2" name="TextBox 1"/>
        <xdr:cNvSpPr txBox="1"/>
      </xdr:nvSpPr>
      <xdr:spPr>
        <a:xfrm>
          <a:off x="651570" y="114300"/>
          <a:ext cx="6008824" cy="7191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Министерство образования Республики Беларусь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Учреждение образования</a:t>
          </a:r>
        </a:p>
        <a:p>
          <a:pPr algn="ctr"/>
          <a:r>
            <a:rPr lang="ru-RU" sz="1100" cap="small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БЕЛОРУССКИЙ ГОСУДАРСТВЕННЫЙ УНИВЕРСИТЕТ ИНФОРМАТИКИ И РАДИОЭЛЕКТРОНИКИ 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Факультет информационных технологий и управления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Кафедра информационных технологий автоматизированных систем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Лабораторная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работа №</a:t>
          </a:r>
          <a:r>
            <a:rPr lang="en-US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endParaRPr lang="ru-RU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ru-RU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по курсу «Имитационное моделирование систем»</a:t>
          </a:r>
          <a:endParaRPr lang="ru-RU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на  тему:</a:t>
          </a:r>
        </a:p>
        <a:p>
          <a:pPr algn="ctr"/>
          <a:r>
            <a:rPr lang="ru-RU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«Анализ</a:t>
          </a:r>
          <a:r>
            <a:rPr lang="ru-RU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и оптимизация решений</a:t>
          </a:r>
        </a:p>
        <a:p>
          <a:pPr algn="ctr"/>
          <a:r>
            <a:rPr lang="ru-RU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 детерминированных задачах на основе метода Монте-Карло</a:t>
          </a:r>
          <a:r>
            <a:rPr lang="ru-RU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Вариант №3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Выполнили студенты 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гр</a:t>
          </a:r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120602</a:t>
          </a:r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		 		Анашкевич</a:t>
          </a:r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П.С.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			Будный</a:t>
          </a:r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Р. И. </a:t>
          </a:r>
          <a:endParaRPr lang="ru-RU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Проверил                                 		 		Севернёв А.М.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algn="ctr"/>
          <a:r>
            <a:rPr lang="ru-R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Минск  2014</a:t>
          </a:r>
        </a:p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104775</xdr:rowOff>
    </xdr:from>
    <xdr:to>
      <xdr:col>12</xdr:col>
      <xdr:colOff>266700</xdr:colOff>
      <xdr:row>3</xdr:row>
      <xdr:rowOff>161925</xdr:rowOff>
    </xdr:to>
    <xdr:sp macro="" textlink="">
      <xdr:nvSpPr>
        <xdr:cNvPr id="2" name="TextBox 1"/>
        <xdr:cNvSpPr txBox="1"/>
      </xdr:nvSpPr>
      <xdr:spPr>
        <a:xfrm>
          <a:off x="142875" y="104775"/>
          <a:ext cx="7191375" cy="628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цехе имеются два станка (СТ1 и СТ2). Каждый из станков может выпускать детали трех типов (Д1, Д2, Д3). Производительность станков (деталей в день) приведена в таблице 3.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Таблица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142875</xdr:colOff>
      <xdr:row>8</xdr:row>
      <xdr:rowOff>76199</xdr:rowOff>
    </xdr:from>
    <xdr:to>
      <xdr:col>12</xdr:col>
      <xdr:colOff>247650</xdr:colOff>
      <xdr:row>15</xdr:row>
      <xdr:rowOff>161924</xdr:rowOff>
    </xdr:to>
    <xdr:sp macro="" textlink="">
      <xdr:nvSpPr>
        <xdr:cNvPr id="3" name="TextBox 2"/>
        <xdr:cNvSpPr txBox="1"/>
      </xdr:nvSpPr>
      <xdr:spPr>
        <a:xfrm>
          <a:off x="142875" y="1600199"/>
          <a:ext cx="7172325" cy="1419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начале каждого рабочего дня станок налаживается на выпуск деталей некоторого типа и выпускает их весь день. В течение рабочей недели (5 дней) недели предприятию необходимо выпустить не менее 300 деталей Д1 и не менее 200 деталей Д2. Прибыль предприятия от продажи детали Д1 составляет 3 ден. ед., Д2 – 5 ден. ед., Д3 – 8 ден. ед. Прибыль не зависит от того, на каком станке выпущена деталь.</a:t>
          </a: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Требуется составить оптимальный план использования станков в течение рабочей недели, т.е. определить, сколько дней каждый станок должен использоваться для выпуска деталей каждого типа, чтобы общая прибыль от выпущенных деталей была максимальной.</a:t>
          </a:r>
        </a:p>
        <a:p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9</xdr:row>
          <xdr:rowOff>57150</xdr:rowOff>
        </xdr:from>
        <xdr:to>
          <xdr:col>8</xdr:col>
          <xdr:colOff>438150</xdr:colOff>
          <xdr:row>11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Рассчитать!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showGridLines="0" workbookViewId="0">
      <selection activeCell="O10" sqref="O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5:F8"/>
  <sheetViews>
    <sheetView showGridLines="0" workbookViewId="0">
      <selection activeCell="B5" sqref="B5:F8"/>
    </sheetView>
  </sheetViews>
  <sheetFormatPr defaultRowHeight="15" x14ac:dyDescent="0.25"/>
  <cols>
    <col min="1" max="1" width="5.42578125" customWidth="1"/>
  </cols>
  <sheetData>
    <row r="5" spans="2:6" x14ac:dyDescent="0.25">
      <c r="B5" s="8" t="s">
        <v>0</v>
      </c>
      <c r="C5" s="8"/>
      <c r="D5" s="8" t="s">
        <v>1</v>
      </c>
      <c r="E5" s="8"/>
      <c r="F5" s="8"/>
    </row>
    <row r="6" spans="2:6" x14ac:dyDescent="0.25">
      <c r="B6" s="8"/>
      <c r="C6" s="8"/>
      <c r="D6" s="1" t="s">
        <v>2</v>
      </c>
      <c r="E6" s="1" t="s">
        <v>3</v>
      </c>
      <c r="F6" s="1" t="s">
        <v>4</v>
      </c>
    </row>
    <row r="7" spans="2:6" x14ac:dyDescent="0.25">
      <c r="B7" s="8" t="s">
        <v>5</v>
      </c>
      <c r="C7" s="8"/>
      <c r="D7" s="1">
        <v>80</v>
      </c>
      <c r="E7" s="1">
        <v>100</v>
      </c>
      <c r="F7" s="1">
        <v>70</v>
      </c>
    </row>
    <row r="8" spans="2:6" x14ac:dyDescent="0.25">
      <c r="B8" s="8" t="s">
        <v>6</v>
      </c>
      <c r="C8" s="8"/>
      <c r="D8" s="1">
        <v>100</v>
      </c>
      <c r="E8" s="1">
        <v>70</v>
      </c>
      <c r="F8" s="1">
        <v>50</v>
      </c>
    </row>
  </sheetData>
  <mergeCells count="4">
    <mergeCell ref="B5:C6"/>
    <mergeCell ref="D5:F5"/>
    <mergeCell ref="B7:C7"/>
    <mergeCell ref="B8:C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O20"/>
  <sheetViews>
    <sheetView showGridLines="0" tabSelected="1" zoomScale="80" zoomScaleNormal="80" workbookViewId="0">
      <selection activeCell="I8" sqref="I8"/>
    </sheetView>
  </sheetViews>
  <sheetFormatPr defaultRowHeight="15" x14ac:dyDescent="0.25"/>
  <cols>
    <col min="12" max="12" width="8" customWidth="1"/>
    <col min="15" max="15" width="10.5703125" customWidth="1"/>
  </cols>
  <sheetData>
    <row r="2" spans="1:15" x14ac:dyDescent="0.25">
      <c r="A2" s="8" t="s">
        <v>0</v>
      </c>
      <c r="B2" s="8"/>
      <c r="C2" s="8" t="s">
        <v>1</v>
      </c>
      <c r="D2" s="8"/>
      <c r="E2" s="8"/>
      <c r="G2" s="12" t="s">
        <v>7</v>
      </c>
      <c r="H2" s="12"/>
      <c r="I2" s="12"/>
      <c r="J2" s="12"/>
      <c r="K2" s="3">
        <v>5</v>
      </c>
      <c r="M2" s="8" t="s">
        <v>11</v>
      </c>
      <c r="N2" s="8"/>
      <c r="O2" s="8"/>
    </row>
    <row r="3" spans="1:15" x14ac:dyDescent="0.25">
      <c r="A3" s="8"/>
      <c r="B3" s="8"/>
      <c r="C3" s="1" t="s">
        <v>2</v>
      </c>
      <c r="D3" s="1" t="s">
        <v>3</v>
      </c>
      <c r="E3" s="1" t="s">
        <v>4</v>
      </c>
      <c r="G3" s="11" t="s">
        <v>8</v>
      </c>
      <c r="H3" s="11"/>
      <c r="I3" s="11"/>
      <c r="J3" s="11"/>
      <c r="K3" s="1">
        <v>300</v>
      </c>
      <c r="M3" s="13" t="s">
        <v>12</v>
      </c>
      <c r="N3" s="13"/>
      <c r="O3" s="1">
        <v>3</v>
      </c>
    </row>
    <row r="4" spans="1:15" x14ac:dyDescent="0.25">
      <c r="A4" s="8" t="s">
        <v>5</v>
      </c>
      <c r="B4" s="8"/>
      <c r="C4" s="1">
        <v>80</v>
      </c>
      <c r="D4" s="1">
        <v>100</v>
      </c>
      <c r="E4" s="1">
        <v>70</v>
      </c>
      <c r="G4" s="11" t="s">
        <v>9</v>
      </c>
      <c r="H4" s="11"/>
      <c r="I4" s="11"/>
      <c r="J4" s="11"/>
      <c r="K4" s="2">
        <v>200</v>
      </c>
      <c r="M4" s="13" t="s">
        <v>13</v>
      </c>
      <c r="N4" s="13"/>
      <c r="O4" s="1">
        <v>5</v>
      </c>
    </row>
    <row r="5" spans="1:15" x14ac:dyDescent="0.25">
      <c r="A5" s="8" t="s">
        <v>6</v>
      </c>
      <c r="B5" s="8"/>
      <c r="C5" s="1">
        <v>100</v>
      </c>
      <c r="D5" s="1">
        <v>70</v>
      </c>
      <c r="E5" s="1">
        <v>50</v>
      </c>
      <c r="G5" s="11" t="s">
        <v>10</v>
      </c>
      <c r="H5" s="11"/>
      <c r="I5" s="11"/>
      <c r="J5" s="11"/>
      <c r="K5" s="2">
        <v>0</v>
      </c>
      <c r="M5" s="13" t="s">
        <v>14</v>
      </c>
      <c r="N5" s="13"/>
      <c r="O5" s="1">
        <v>8</v>
      </c>
    </row>
    <row r="7" spans="1:15" x14ac:dyDescent="0.25">
      <c r="A7" s="7"/>
      <c r="B7" s="9" t="s">
        <v>15</v>
      </c>
      <c r="C7" s="9"/>
      <c r="D7" s="9"/>
      <c r="E7" s="9"/>
      <c r="F7" s="6"/>
    </row>
    <row r="8" spans="1:15" x14ac:dyDescent="0.25">
      <c r="A8" s="7"/>
      <c r="B8" s="1"/>
      <c r="C8" s="1" t="s">
        <v>2</v>
      </c>
      <c r="D8" s="1" t="s">
        <v>3</v>
      </c>
      <c r="E8" s="1" t="s">
        <v>4</v>
      </c>
      <c r="F8" s="4"/>
      <c r="G8" s="10" t="s">
        <v>16</v>
      </c>
      <c r="H8" s="10"/>
      <c r="I8" s="5">
        <v>10000</v>
      </c>
    </row>
    <row r="9" spans="1:15" x14ac:dyDescent="0.25">
      <c r="A9" s="7"/>
      <c r="B9" s="1" t="s">
        <v>5</v>
      </c>
      <c r="C9" s="1">
        <v>0</v>
      </c>
      <c r="D9" s="1">
        <v>1</v>
      </c>
      <c r="E9" s="1">
        <v>4</v>
      </c>
      <c r="F9" s="7"/>
    </row>
    <row r="10" spans="1:15" x14ac:dyDescent="0.25">
      <c r="A10" s="7"/>
      <c r="B10" s="1" t="s">
        <v>6</v>
      </c>
      <c r="C10" s="1">
        <v>3</v>
      </c>
      <c r="D10" s="1">
        <v>2</v>
      </c>
      <c r="E10" s="1">
        <v>0</v>
      </c>
      <c r="F10" s="7"/>
    </row>
    <row r="11" spans="1:15" x14ac:dyDescent="0.25">
      <c r="A11" s="7"/>
      <c r="B11" s="7"/>
      <c r="C11" s="7"/>
      <c r="D11" s="7"/>
    </row>
    <row r="12" spans="1:15" x14ac:dyDescent="0.25">
      <c r="A12" s="7"/>
      <c r="B12" s="11" t="s">
        <v>17</v>
      </c>
      <c r="C12" s="11"/>
      <c r="D12" s="11"/>
      <c r="E12" s="5">
        <v>4340</v>
      </c>
    </row>
    <row r="17" spans="3:5" x14ac:dyDescent="0.25">
      <c r="C17" s="14" t="s">
        <v>18</v>
      </c>
    </row>
    <row r="18" spans="3:5" x14ac:dyDescent="0.25">
      <c r="C18" s="5">
        <f>C9*C4</f>
        <v>0</v>
      </c>
      <c r="D18" s="5">
        <f t="shared" ref="D18:E18" si="0">D9*D4</f>
        <v>100</v>
      </c>
      <c r="E18" s="5">
        <f t="shared" si="0"/>
        <v>280</v>
      </c>
    </row>
    <row r="19" spans="3:5" x14ac:dyDescent="0.25">
      <c r="C19" s="5">
        <f>C10*C5</f>
        <v>300</v>
      </c>
      <c r="D19" s="5">
        <f t="shared" ref="D19:E19" si="1">D10*D5</f>
        <v>140</v>
      </c>
      <c r="E19" s="5">
        <f t="shared" si="1"/>
        <v>0</v>
      </c>
    </row>
    <row r="20" spans="3:5" x14ac:dyDescent="0.25">
      <c r="C20" s="5">
        <f>SUM(C18:C19)</f>
        <v>300</v>
      </c>
      <c r="D20" s="5">
        <f t="shared" ref="D20:E20" si="2">SUM(D18:D19)</f>
        <v>240</v>
      </c>
      <c r="E20" s="5">
        <f t="shared" si="2"/>
        <v>280</v>
      </c>
    </row>
  </sheetData>
  <mergeCells count="15">
    <mergeCell ref="M2:O2"/>
    <mergeCell ref="M3:N3"/>
    <mergeCell ref="M4:N4"/>
    <mergeCell ref="M5:N5"/>
    <mergeCell ref="A2:B3"/>
    <mergeCell ref="C2:E2"/>
    <mergeCell ref="A4:B4"/>
    <mergeCell ref="A5:B5"/>
    <mergeCell ref="B7:E7"/>
    <mergeCell ref="G8:H8"/>
    <mergeCell ref="B12:D12"/>
    <mergeCell ref="G2:J2"/>
    <mergeCell ref="G3:J3"/>
    <mergeCell ref="G4:J4"/>
    <mergeCell ref="G5:J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cess_button">
                <anchor moveWithCells="1" sizeWithCells="1">
                  <from>
                    <xdr:col>6</xdr:col>
                    <xdr:colOff>133350</xdr:colOff>
                    <xdr:row>9</xdr:row>
                    <xdr:rowOff>57150</xdr:rowOff>
                  </from>
                  <to>
                    <xdr:col>8</xdr:col>
                    <xdr:colOff>438150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Титульный</vt:lpstr>
      <vt:lpstr>Задание</vt:lpstr>
      <vt:lpstr>Расчет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Павел Анашкевич</dc:creator>
  <cp:lastModifiedBy>Павел Анашкевич</cp:lastModifiedBy>
  <dcterms:created xsi:type="dcterms:W3CDTF">2014-09-21T18:31:35Z</dcterms:created>
  <dcterms:modified xsi:type="dcterms:W3CDTF">2014-09-26T09:33:25Z</dcterms:modified>
</cp:coreProperties>
</file>